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Assumptions" state="visible" r:id="rId5"/>
    <sheet sheetId="3" name="02_Plan_Economics" state="visible" r:id="rId6"/>
    <sheet sheetId="4" name="03_Shortlets" state="visible" r:id="rId7"/>
    <sheet sheetId="5" name="04_Customer_LTV" state="visible" r:id="rId8"/>
    <sheet sheetId="6" name="05_Portfolio_Mix" state="visible" r:id="rId9"/>
    <sheet sheetId="7" name="06_Sensitivity" state="visible" r:id="rId10"/>
    <sheet sheetId="8" name="07_12Mo_Path" state="visible" r:id="rId11"/>
    <sheet sheetId="9" name="08_Claude_Prompt" state="visible" r:id="rId12"/>
  </sheets>
  <calcPr calcId="171027"/>
</workbook>
</file>

<file path=xl/sharedStrings.xml><?xml version="1.0" encoding="utf-8"?>
<sst xmlns="http://schemas.openxmlformats.org/spreadsheetml/2006/main" count="273" uniqueCount="241">
  <si>
    <t>Realcorp Unit Economics</t>
  </si>
  <si>
    <t>SaaS + Shortlets + WhatsApp booking take-rate model</t>
  </si>
  <si>
    <t>Currency</t>
  </si>
  <si>
    <t>All figures in Nigerian Naira (₦) unless noted</t>
  </si>
  <si>
    <t>How to use</t>
  </si>
  <si>
    <t>1) Edit yellow/orange INPUT cells on Assumptions. 2) Review Plan_Economics, Shortlets, LTV. 3) Change Scenario_Mix for portfolio view.</t>
  </si>
  <si>
    <t>Do not edit</t>
  </si>
  <si>
    <t>Blue/formula columns — they recalculate from Assumptions</t>
  </si>
  <si>
    <t>Pricing thesis</t>
  </si>
  <si>
    <t>Base SaaS (org) + seats + per shortlet LOCATION + % take-rate only when Realcorp/WhatsApp books or collects payment</t>
  </si>
  <si>
    <t>Plans</t>
  </si>
  <si>
    <t>STARTER / GROWTH / ENTERPRISE (matches TenantPlan in product)</t>
  </si>
  <si>
    <t>Shortlets meter</t>
  </si>
  <si>
    <t>Bill ShortletProperty (location), not every unit/room</t>
  </si>
  <si>
    <t>Offline cash</t>
  </si>
  <si>
    <t>0% take-rate by default — do not tax walk-in cash outside your rails</t>
  </si>
  <si>
    <t>Version</t>
  </si>
  <si>
    <t>2026-09-07</t>
  </si>
  <si>
    <t>ASSUMPTIONS — edit yellow cells</t>
  </si>
  <si>
    <t>A. Platform &amp; delivery cost (monthly, allocated)</t>
  </si>
  <si>
    <t>Infra (Netlify/DB/CDN)</t>
  </si>
  <si>
    <t>Hosting, Postgres, CDN, email</t>
  </si>
  <si>
    <t>AI base (Gemini budget)</t>
  </si>
  <si>
    <t>Before metered overage</t>
  </si>
  <si>
    <t>Support / CS allocation</t>
  </si>
  <si>
    <t>Partial FTE + WhatsApp support</t>
  </si>
  <si>
    <t>Payment tools fixed</t>
  </si>
  <si>
    <t>Paystack dashboard etc.</t>
  </si>
  <si>
    <t>Other SaaS tools</t>
  </si>
  <si>
    <t>Sentry, analytics, design</t>
  </si>
  <si>
    <t>Total fixed monthly OpEx (platform)</t>
  </si>
  <si>
    <t>B. Variable cost per active org / month</t>
  </si>
  <si>
    <t>COGS_per_org_base</t>
  </si>
  <si>
    <t>DB/storage/support load per tenant</t>
  </si>
  <si>
    <t>COGS_per_extra_seat</t>
  </si>
  <si>
    <t>Marginal cost per seat</t>
  </si>
  <si>
    <t>COGS_per_shortlet_location</t>
  </si>
  <si>
    <t>Hosting/ops per active location</t>
  </si>
  <si>
    <t>COGS_AI_per_doc_extract</t>
  </si>
  <si>
    <t>Gemini cost per successful extract</t>
  </si>
  <si>
    <t>Paystack_percent</t>
  </si>
  <si>
    <t>Payment processor % (illustrative)</t>
  </si>
  <si>
    <t>Paystack_flat</t>
  </si>
  <si>
    <t>Flat fee per txn if any</t>
  </si>
  <si>
    <t>C. SaaS list prices (monthly)</t>
  </si>
  <si>
    <t>Starter_price</t>
  </si>
  <si>
    <t>5 seats included</t>
  </si>
  <si>
    <t>Growth_price</t>
  </si>
  <si>
    <t>15 seats — recommended default</t>
  </si>
  <si>
    <t>Enterprise_price</t>
  </si>
  <si>
    <t>40 seats</t>
  </si>
  <si>
    <t>Extra_seat_Starter</t>
  </si>
  <si>
    <t>Extra_seat_Growth</t>
  </si>
  <si>
    <t>Extra_seat_Enterprise</t>
  </si>
  <si>
    <t>Seats_incl_Starter</t>
  </si>
  <si>
    <t>Seats_incl_Growth</t>
  </si>
  <si>
    <t>Seats_incl_Enterprise</t>
  </si>
  <si>
    <t>D. Shortlets pricing</t>
  </si>
  <si>
    <t>Shortlets_addon_monthly</t>
  </si>
  <si>
    <t>Module access; includes N locations</t>
  </si>
  <si>
    <t>Locations_included</t>
  </si>
  <si>
    <t>In shortlets add-on</t>
  </si>
  <si>
    <t>Extra_location_monthly</t>
  </si>
  <si>
    <t>Per ShortletProperty beyond included</t>
  </si>
  <si>
    <t>Take_rate_checkout</t>
  </si>
  <si>
    <t>% when paid via Realcorp checkout</t>
  </si>
  <si>
    <t>Take_rate_whatsapp</t>
  </si>
  <si>
    <t>% when booked via WhatsApp agent then paid</t>
  </si>
  <si>
    <t>Take_rate_offline</t>
  </si>
  <si>
    <t>% walk-in cash outside rails</t>
  </si>
  <si>
    <t>Pass_through_paystack</t>
  </si>
  <si>
    <t>1=subtract processor from your take, 0=customer pays processor</t>
  </si>
  <si>
    <t>E. Sales &amp; retention assumptions</t>
  </si>
  <si>
    <t>CAC_blended</t>
  </si>
  <si>
    <t>Sales+ads+founder time per won logo</t>
  </si>
  <si>
    <t>Setup_fee_avg</t>
  </si>
  <si>
    <t>One-time implementation (avg)</t>
  </si>
  <si>
    <t>Setup_delivery_cost</t>
  </si>
  <si>
    <t>Your cost to onboard (hours)</t>
  </si>
  <si>
    <t>Gross_margin_target</t>
  </si>
  <si>
    <t>Target contribution margin</t>
  </si>
  <si>
    <t>Monthly_churn_Starter</t>
  </si>
  <si>
    <t>5% MoM</t>
  </si>
  <si>
    <t>Monthly_churn_Growth</t>
  </si>
  <si>
    <t>Monthly_churn_Enterprise</t>
  </si>
  <si>
    <t>Annual_discount</t>
  </si>
  <si>
    <t>~2 months free if paid annually</t>
  </si>
  <si>
    <t>Collection_rate</t>
  </si>
  <si>
    <t>% invoices actually collected</t>
  </si>
  <si>
    <t>F. Typical customer usage profiles (for LTV sheets)</t>
  </si>
  <si>
    <t>Avg_seats_Starter</t>
  </si>
  <si>
    <t>Avg_seats_Growth</t>
  </si>
  <si>
    <t>Avg_seats_Enterprise</t>
  </si>
  <si>
    <t>Shortlet_locations_typ</t>
  </si>
  <si>
    <t>Typical Growth shortlet customer</t>
  </si>
  <si>
    <t>GMV_monthly_typ</t>
  </si>
  <si>
    <t>Gross booking value / mo via PMS</t>
  </si>
  <si>
    <t>Pct_GMV_via_checkout</t>
  </si>
  <si>
    <t>Paid on Realcorp link</t>
  </si>
  <si>
    <t>Pct_GMV_via_whatsapp</t>
  </si>
  <si>
    <t>WhatsApp-originated</t>
  </si>
  <si>
    <t>Pct_GMV_offline</t>
  </si>
  <si>
    <t>Cash/transfer offline</t>
  </si>
  <si>
    <t>AI_docs_per_mo_Growth</t>
  </si>
  <si>
    <t>Doc extracts / month</t>
  </si>
  <si>
    <t>Named ranges reference (for formulas on other sheets)</t>
  </si>
  <si>
    <t>Yellow cells = INPUTS. Change these to stress-test.</t>
  </si>
  <si>
    <t>Monthly unit economics by plan (typical seat counts)</t>
  </si>
  <si>
    <t>Metric</t>
  </si>
  <si>
    <t>Starter</t>
  </si>
  <si>
    <t>Growth</t>
  </si>
  <si>
    <t>Enterprise</t>
  </si>
  <si>
    <t>Notes</t>
  </si>
  <si>
    <t>List price (base)</t>
  </si>
  <si>
    <t>Monthly SaaS</t>
  </si>
  <si>
    <t>Seats used (typical)</t>
  </si>
  <si>
    <t/>
  </si>
  <si>
    <t>Seats included</t>
  </si>
  <si>
    <t>Extra seats</t>
  </si>
  <si>
    <t>Extra seat revenue</t>
  </si>
  <si>
    <t>SaaS revenue (mo)</t>
  </si>
  <si>
    <t>Before shortlets</t>
  </si>
  <si>
    <t>Collected SaaS (mo)</t>
  </si>
  <si>
    <t>After collection rate</t>
  </si>
  <si>
    <t>COGS: base org</t>
  </si>
  <si>
    <t>COGS: seats</t>
  </si>
  <si>
    <t>COGS: AI (Growth+)</t>
  </si>
  <si>
    <t>0</t>
  </si>
  <si>
    <t>Enterprise uses more AI</t>
  </si>
  <si>
    <t>Total variable COGS</t>
  </si>
  <si>
    <t>Contribution (₦)</t>
  </si>
  <si>
    <t>Before fixed OpEx allocation</t>
  </si>
  <si>
    <t>Contribution margin %</t>
  </si>
  <si>
    <t>Target ~75%</t>
  </si>
  <si>
    <t>vs margin target</t>
  </si>
  <si>
    <t>Positive = beating target</t>
  </si>
  <si>
    <t>Interpretation</t>
  </si>
  <si>
    <t>Growth should be your volume plan: high contribution, seats under included limit, HR/AI attached. Starter is acquisition; Enterprise is margin + expansion.</t>
  </si>
  <si>
    <t>Shortlets: location fee + take-rate unit economics</t>
  </si>
  <si>
    <t>Value</t>
  </si>
  <si>
    <t>Shortlets add-on</t>
  </si>
  <si>
    <t>Module fee</t>
  </si>
  <si>
    <t>Locations typical</t>
  </si>
  <si>
    <t>Locations included</t>
  </si>
  <si>
    <t>Billable extra locations</t>
  </si>
  <si>
    <t>Location revenue</t>
  </si>
  <si>
    <t>Subscription shortlets total</t>
  </si>
  <si>
    <t>Add-on + locations</t>
  </si>
  <si>
    <t>GMV monthly</t>
  </si>
  <si>
    <t>Gross booking value</t>
  </si>
  <si>
    <t>GMV via checkout</t>
  </si>
  <si>
    <t>GMV via WhatsApp</t>
  </si>
  <si>
    <t>GMV offline</t>
  </si>
  <si>
    <t>0% take</t>
  </si>
  <si>
    <t>Take revenue checkout</t>
  </si>
  <si>
    <t>Take revenue WhatsApp</t>
  </si>
  <si>
    <t>Take revenue offline</t>
  </si>
  <si>
    <t>Gross take-rate revenue</t>
  </si>
  <si>
    <t>Processor cost (in-rail)</t>
  </si>
  <si>
    <t>Paystack % on checkout+WA GMV (simplify flat)</t>
  </si>
  <si>
    <t>Net take-rate</t>
  </si>
  <si>
    <t>Total shortlets revenue</t>
  </si>
  <si>
    <t>COGS locations</t>
  </si>
  <si>
    <t>Contribution ₦</t>
  </si>
  <si>
    <t>Blended take-rate on total GMV</t>
  </si>
  <si>
    <t>Should land ~1.5–2.5% of all GMV if mix is 35/25/40</t>
  </si>
  <si>
    <t>Effective platform fee on in-rail only</t>
  </si>
  <si>
    <t>Decision checks</t>
  </si>
  <si>
    <t>If contribution margin on shortlets &lt; 60%, raise location fee or take-rate — or cut included locations.</t>
  </si>
  <si>
    <t>If blended take on total GMV &gt; 4%, operators will push bookings offline — rebalance mix incentives.</t>
  </si>
  <si>
    <t>Customer LTV / CAC (SaaS only, then with Shortlets)</t>
  </si>
  <si>
    <t>Growth+Shortlets</t>
  </si>
  <si>
    <t>Monthly contribution</t>
  </si>
  <si>
    <t>After variable COGS</t>
  </si>
  <si>
    <t>Monthly churn</t>
  </si>
  <si>
    <t>Shortlets assumed same churn as Growth</t>
  </si>
  <si>
    <t>Expected lifetime (months)</t>
  </si>
  <si>
    <t>1/churn</t>
  </si>
  <si>
    <t>LTV (contribution)</t>
  </si>
  <si>
    <t>Simple undiscounted</t>
  </si>
  <si>
    <t>Setup fee contribution</t>
  </si>
  <si>
    <t>One-time</t>
  </si>
  <si>
    <t>LTV + setup</t>
  </si>
  <si>
    <t>CAC</t>
  </si>
  <si>
    <t>Blended</t>
  </si>
  <si>
    <t>LTV:CAC</t>
  </si>
  <si>
    <t>Target ≥ 3x</t>
  </si>
  <si>
    <t>Months to recover CAC</t>
  </si>
  <si>
    <t>Payback (months)</t>
  </si>
  <si>
    <t>Healthy?</t>
  </si>
  <si>
    <t>LTV:CAC≥3 and payback≤6</t>
  </si>
  <si>
    <t>Rule of thumb</t>
  </si>
  <si>
    <t>If Growth LTV:CAC &lt; 3x, raise price or cut CAC (founder-led sales) before scaling ads. Shortlets take-rate is what makes Growth+Shortlets clearly &gt;3x.</t>
  </si>
  <si>
    <t>Portfolio mix — edit customer counts (yellow)</t>
  </si>
  <si>
    <t>Segment</t>
  </si>
  <si>
    <t>Count</t>
  </si>
  <si>
    <t>ARPU contrib/mo</t>
  </si>
  <si>
    <t>Segment contrib</t>
  </si>
  <si>
    <t>% of logos</t>
  </si>
  <si>
    <t>Acquisition wedge</t>
  </si>
  <si>
    <t>Growth (no shortlets)</t>
  </si>
  <si>
    <t>Core CRM/ERP</t>
  </si>
  <si>
    <t>Growth + Shortlets</t>
  </si>
  <si>
    <t>Highest ARPU</t>
  </si>
  <si>
    <t>Anchor accounts</t>
  </si>
  <si>
    <t>Total logos</t>
  </si>
  <si>
    <t>Total monthly contribution</t>
  </si>
  <si>
    <t>Blended contrib / logo</t>
  </si>
  <si>
    <t>Fixed platform OpEx</t>
  </si>
  <si>
    <t>Portfolio profit after fixed</t>
  </si>
  <si>
    <t>Logos needed to cover fixed OpEx</t>
  </si>
  <si>
    <t>Break-even logo count at this mix</t>
  </si>
  <si>
    <t>Sensitivity — Growth+Shortlets monthly contribution vs take-rate × location fee</t>
  </si>
  <si>
    <t>Static snapshot using Assumptions defaults (recalculate mentally or duplicate sheet after changing inputs). Values below are computed from current assumption cells via formulas tied to base case.</t>
  </si>
  <si>
    <t>One-way: Checkout take-rate</t>
  </si>
  <si>
    <t>Take %</t>
  </si>
  <si>
    <t>Illustrative net take on 35% of ₦4.5m GMV</t>
  </si>
  <si>
    <t>Delta vs 3%</t>
  </si>
  <si>
    <t>One-way: Extra location fee</t>
  </si>
  <si>
    <t>Fee / location</t>
  </si>
  <si>
    <t>Rev if 1 extra loc</t>
  </si>
  <si>
    <t>Rev if 3 extra loc</t>
  </si>
  <si>
    <t>One-way: Growth list price</t>
  </si>
  <si>
    <t>Price</t>
  </si>
  <si>
    <t>Approx contrib*</t>
  </si>
  <si>
    <t>*Assumes ~₦15k variable COGS; edit if needed</t>
  </si>
  <si>
    <t>12-month path (edit yellow new logos / mo)</t>
  </si>
  <si>
    <t>New Growth logos / month</t>
  </si>
  <si>
    <t>INPUT</t>
  </si>
  <si>
    <t>New Shortlet attach rate</t>
  </si>
  <si>
    <t>Churn (Growth)</t>
  </si>
  <si>
    <t>Month</t>
  </si>
  <si>
    <t>Total / End</t>
  </si>
  <si>
    <t>Ending Growth logos</t>
  </si>
  <si>
    <t>Shortlet logos (end)</t>
  </si>
  <si>
    <t>Growth contrib ₦</t>
  </si>
  <si>
    <t>Fixed OpEx</t>
  </si>
  <si>
    <t>Net after fixed</t>
  </si>
  <si>
    <t>Starts from 5 Growth logos in month 0. This is a planning sketch — not accounting.</t>
  </si>
  <si>
    <t>Copy-paste prompt (if you want Claude to extend this model)</t>
  </si>
  <si>
    <t xml:space="preserve">You are a SaaS CFO advisor for Realcorp, a Nigerian multi-tenant PropTech CRM/ERP (Next.js). Plans: STARTER / GROWTH / ENTERPRISE. Modules include Sales, Finance, Marketing, Clients, HR/Payslips, Shortlets PMS, WhatsApp agent, AI document reader, Facility, Investor portal.
Build / refine a unit economics model in Naira with:
1) Assumptions tab (editable): fixed OpEx, COGS per org/seat/shortlet location, Paystack fees, list prices, seat includes, shortlets add-on, per-location fee, take-rates (checkout 3%, WhatsApp 4%, offline 0%), CAC, setup fee, churn by plan, collection rate, typical GMV and channel mix.
2) Plan economics: monthly revenue, variable COGS, contribution ₦ and % for Starter / Growth / Enterprise.
3) Shortlets: add-on + billable locations (beyond included) + take-rate only on Realcorp checkout and WhatsApp-originated paid bookings. Show blended take on total GMV vs in-rail GMV. Net of Paystack if pass-through.
4) LTV/CAC: lifetime months = 1/monthly churn; LTV = monthly contribution × lifetime + setup contribution; LTV:CAC and payback months. Flag healthy if LTV:CAC ≥ 3 and payback ≤ 6.
5) Portfolio mix: counts of Starter / Growth / Growth+Shortlets / Enterprise → total contribution vs fixed OpEx and break-even logos.
6) Sensitivity tables for take-rate, location fee, Growth price.
7) 12-month logo ramp sketch.
Defaults to use unless I override:
- Starter ₦90k (5 seats), Growth ₦225k (15), Enterprise ₦500k (40)
- Extra seats ₦8k / ₦7k / ₦5k
- Shortlets add-on ₦70k incl 2 locations; extra location ₦20k
- Typical shortlet GMV ₦4.5m/mo; mix 35% checkout / 25% WhatsApp / 40% offline
- CAC ₦180k; setup fee ₦250k (delivery cost ₦80k)
- Churn 5% / 3% / 1.5% monthly
- Target contribution margin 75%
Output: Excel-ready tables OR CSV sheets I can paste. Explain which levers move contribution most for Nigerian developer/shortlet operators. Do not invent US-dollar SaaS pricing.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</si>
</sst>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₦&quot;#,##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4"/>
    </font>
    <font>
      <i/>
      <color rgb="FFB45309"/>
    </font>
    <font>
      <b/>
      <sz val="13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7ED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vertical="center" wrapText="1"/>
    </xf>
    <xf numFmtId="165" fontId="0" fillId="0" borderId="0" xfId="0" applyNumberFormat="1"/>
    <xf numFmtId="4" fontId="0" fillId="0" borderId="0" xfId="0" applyNumberFormat="1"/>
    <xf numFmtId="0" fontId="7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 t="s">
        <v>11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14</v>
      </c>
      <c r="B8" t="s">
        <v>15</v>
      </c>
    </row>
    <row r="9" spans="1:2" x14ac:dyDescent="0.25">
      <c r="A9" s="2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FormatPr defaultRowHeight="15" outlineLevelRow="0" outlineLevelCol="0" x14ac:dyDescent="55"/>
  <cols>
    <col min="1" max="1" width="42" customWidth="1"/>
    <col min="2" max="2" width="18" customWidth="1"/>
    <col min="3" max="3" width="55" customWidth="1"/>
  </cols>
  <sheetData>
    <row r="1" spans="1:1" x14ac:dyDescent="0.25">
      <c r="A1" s="3" t="s">
        <v>18</v>
      </c>
    </row>
    <row r="3" spans="1:1" x14ac:dyDescent="0.25">
      <c r="A3" s="2" t="s">
        <v>19</v>
      </c>
    </row>
    <row r="4" spans="1:3" x14ac:dyDescent="0.25">
      <c r="A4" t="s">
        <v>20</v>
      </c>
      <c r="B4" s="4">
        <v>120000</v>
      </c>
      <c r="C4" t="s">
        <v>21</v>
      </c>
    </row>
    <row r="5" spans="1:3" x14ac:dyDescent="0.25">
      <c r="A5" t="s">
        <v>22</v>
      </c>
      <c r="B5" s="4">
        <v>40000</v>
      </c>
      <c r="C5" t="s">
        <v>23</v>
      </c>
    </row>
    <row r="6" spans="1:3" x14ac:dyDescent="0.25">
      <c r="A6" t="s">
        <v>24</v>
      </c>
      <c r="B6" s="4">
        <v>350000</v>
      </c>
      <c r="C6" t="s">
        <v>25</v>
      </c>
    </row>
    <row r="7" spans="1:3" x14ac:dyDescent="0.25">
      <c r="A7" t="s">
        <v>26</v>
      </c>
      <c r="B7" s="4">
        <v>15000</v>
      </c>
      <c r="C7" t="s">
        <v>27</v>
      </c>
    </row>
    <row r="8" spans="1:3" x14ac:dyDescent="0.25">
      <c r="A8" t="s">
        <v>28</v>
      </c>
      <c r="B8" s="4">
        <v>50000</v>
      </c>
      <c r="C8" t="s">
        <v>29</v>
      </c>
    </row>
    <row r="9" spans="1:2" x14ac:dyDescent="0.25">
      <c r="A9" s="2" t="s">
        <v>30</v>
      </c>
      <c r="B9" s="5">
        <f>B4+B5+B6+B7+B8</f>
      </c>
    </row>
    <row r="11" spans="1:1" x14ac:dyDescent="0.25">
      <c r="A11" s="2" t="s">
        <v>31</v>
      </c>
    </row>
    <row r="12" spans="1:3" x14ac:dyDescent="0.25">
      <c r="A12" t="s">
        <v>32</v>
      </c>
      <c r="B12" s="4">
        <v>8000</v>
      </c>
      <c r="C12" t="s">
        <v>33</v>
      </c>
    </row>
    <row r="13" spans="1:3" x14ac:dyDescent="0.25">
      <c r="A13" t="s">
        <v>34</v>
      </c>
      <c r="B13" s="4">
        <v>500</v>
      </c>
      <c r="C13" t="s">
        <v>35</v>
      </c>
    </row>
    <row r="14" spans="1:3" x14ac:dyDescent="0.25">
      <c r="A14" t="s">
        <v>36</v>
      </c>
      <c r="B14" s="4">
        <v>2500</v>
      </c>
      <c r="C14" t="s">
        <v>37</v>
      </c>
    </row>
    <row r="15" spans="1:3" x14ac:dyDescent="0.25">
      <c r="A15" t="s">
        <v>38</v>
      </c>
      <c r="B15" s="4">
        <v>80</v>
      </c>
      <c r="C15" t="s">
        <v>39</v>
      </c>
    </row>
    <row r="16" spans="1:3" x14ac:dyDescent="0.25">
      <c r="A16" t="s">
        <v>40</v>
      </c>
      <c r="B16" s="6">
        <v>0.015</v>
      </c>
      <c r="C16" t="s">
        <v>41</v>
      </c>
    </row>
    <row r="17" spans="1:3" x14ac:dyDescent="0.25">
      <c r="A17" t="s">
        <v>42</v>
      </c>
      <c r="B17" s="4">
        <v>100</v>
      </c>
      <c r="C17" t="s">
        <v>43</v>
      </c>
    </row>
    <row r="19" spans="1:1" x14ac:dyDescent="0.25">
      <c r="A19" s="2" t="s">
        <v>44</v>
      </c>
    </row>
    <row r="20" spans="1:3" x14ac:dyDescent="0.25">
      <c r="A20" t="s">
        <v>45</v>
      </c>
      <c r="B20" s="4">
        <v>90000</v>
      </c>
      <c r="C20" t="s">
        <v>46</v>
      </c>
    </row>
    <row r="21" spans="1:3" x14ac:dyDescent="0.25">
      <c r="A21" t="s">
        <v>47</v>
      </c>
      <c r="B21" s="4">
        <v>225000</v>
      </c>
      <c r="C21" t="s">
        <v>48</v>
      </c>
    </row>
    <row r="22" spans="1:3" x14ac:dyDescent="0.25">
      <c r="A22" t="s">
        <v>49</v>
      </c>
      <c r="B22" s="4">
        <v>500000</v>
      </c>
      <c r="C22" t="s">
        <v>50</v>
      </c>
    </row>
    <row r="23" spans="1:2" x14ac:dyDescent="0.25">
      <c r="A23" t="s">
        <v>51</v>
      </c>
      <c r="B23" s="4">
        <v>8000</v>
      </c>
    </row>
    <row r="24" spans="1:2" x14ac:dyDescent="0.25">
      <c r="A24" t="s">
        <v>52</v>
      </c>
      <c r="B24" s="4">
        <v>7000</v>
      </c>
    </row>
    <row r="25" spans="1:2" x14ac:dyDescent="0.25">
      <c r="A25" t="s">
        <v>53</v>
      </c>
      <c r="B25" s="4">
        <v>5000</v>
      </c>
    </row>
    <row r="26" spans="1:2" x14ac:dyDescent="0.25">
      <c r="A26" t="s">
        <v>54</v>
      </c>
      <c r="B26" s="7">
        <v>5</v>
      </c>
    </row>
    <row r="27" spans="1:2" x14ac:dyDescent="0.25">
      <c r="A27" t="s">
        <v>55</v>
      </c>
      <c r="B27" s="7">
        <v>15</v>
      </c>
    </row>
    <row r="28" spans="1:2" x14ac:dyDescent="0.25">
      <c r="A28" t="s">
        <v>56</v>
      </c>
      <c r="B28" s="7">
        <v>40</v>
      </c>
    </row>
    <row r="30" spans="1:1" x14ac:dyDescent="0.25">
      <c r="A30" s="2" t="s">
        <v>57</v>
      </c>
    </row>
    <row r="31" spans="1:3" x14ac:dyDescent="0.25">
      <c r="A31" t="s">
        <v>58</v>
      </c>
      <c r="B31" s="4">
        <v>70000</v>
      </c>
      <c r="C31" t="s">
        <v>59</v>
      </c>
    </row>
    <row r="32" spans="1:3" x14ac:dyDescent="0.25">
      <c r="A32" t="s">
        <v>60</v>
      </c>
      <c r="B32" s="7">
        <v>2</v>
      </c>
      <c r="C32" t="s">
        <v>61</v>
      </c>
    </row>
    <row r="33" spans="1:3" x14ac:dyDescent="0.25">
      <c r="A33" t="s">
        <v>62</v>
      </c>
      <c r="B33" s="4">
        <v>20000</v>
      </c>
      <c r="C33" t="s">
        <v>63</v>
      </c>
    </row>
    <row r="34" spans="1:3" x14ac:dyDescent="0.25">
      <c r="A34" t="s">
        <v>64</v>
      </c>
      <c r="B34" s="6">
        <v>0.03</v>
      </c>
      <c r="C34" t="s">
        <v>65</v>
      </c>
    </row>
    <row r="35" spans="1:3" x14ac:dyDescent="0.25">
      <c r="A35" t="s">
        <v>66</v>
      </c>
      <c r="B35" s="6">
        <v>0.04</v>
      </c>
      <c r="C35" t="s">
        <v>67</v>
      </c>
    </row>
    <row r="36" spans="1:3" x14ac:dyDescent="0.25">
      <c r="A36" t="s">
        <v>68</v>
      </c>
      <c r="B36" s="6">
        <v>0</v>
      </c>
      <c r="C36" t="s">
        <v>69</v>
      </c>
    </row>
    <row r="37" spans="1:3" x14ac:dyDescent="0.25">
      <c r="A37" t="s">
        <v>70</v>
      </c>
      <c r="B37" s="7">
        <v>1</v>
      </c>
      <c r="C37" t="s">
        <v>71</v>
      </c>
    </row>
    <row r="39" spans="1:1" x14ac:dyDescent="0.25">
      <c r="A39" s="2" t="s">
        <v>72</v>
      </c>
    </row>
    <row r="40" spans="1:3" x14ac:dyDescent="0.25">
      <c r="A40" t="s">
        <v>73</v>
      </c>
      <c r="B40" s="4">
        <v>180000</v>
      </c>
      <c r="C40" t="s">
        <v>74</v>
      </c>
    </row>
    <row r="41" spans="1:3" x14ac:dyDescent="0.25">
      <c r="A41" t="s">
        <v>75</v>
      </c>
      <c r="B41" s="4">
        <v>250000</v>
      </c>
      <c r="C41" t="s">
        <v>76</v>
      </c>
    </row>
    <row r="42" spans="1:3" x14ac:dyDescent="0.25">
      <c r="A42" t="s">
        <v>77</v>
      </c>
      <c r="B42" s="4">
        <v>80000</v>
      </c>
      <c r="C42" t="s">
        <v>78</v>
      </c>
    </row>
    <row r="43" spans="1:3" x14ac:dyDescent="0.25">
      <c r="A43" t="s">
        <v>79</v>
      </c>
      <c r="B43" s="6">
        <v>0.75</v>
      </c>
      <c r="C43" t="s">
        <v>80</v>
      </c>
    </row>
    <row r="44" spans="1:3" x14ac:dyDescent="0.25">
      <c r="A44" t="s">
        <v>81</v>
      </c>
      <c r="B44" s="6">
        <v>0.05</v>
      </c>
      <c r="C44" t="s">
        <v>82</v>
      </c>
    </row>
    <row r="45" spans="1:2" x14ac:dyDescent="0.25">
      <c r="A45" t="s">
        <v>83</v>
      </c>
      <c r="B45" s="6">
        <v>0.03</v>
      </c>
    </row>
    <row r="46" spans="1:2" x14ac:dyDescent="0.25">
      <c r="A46" t="s">
        <v>84</v>
      </c>
      <c r="B46" s="6">
        <v>0.015</v>
      </c>
    </row>
    <row r="47" spans="1:3" x14ac:dyDescent="0.25">
      <c r="A47" t="s">
        <v>85</v>
      </c>
      <c r="B47" s="6">
        <v>0.1667</v>
      </c>
      <c r="C47" t="s">
        <v>86</v>
      </c>
    </row>
    <row r="48" spans="1:3" x14ac:dyDescent="0.25">
      <c r="A48" t="s">
        <v>87</v>
      </c>
      <c r="B48" s="6">
        <v>0.95</v>
      </c>
      <c r="C48" t="s">
        <v>88</v>
      </c>
    </row>
    <row r="50" spans="1:1" x14ac:dyDescent="0.25">
      <c r="A50" s="2" t="s">
        <v>89</v>
      </c>
    </row>
    <row r="51" spans="1:2" x14ac:dyDescent="0.25">
      <c r="A51" t="s">
        <v>90</v>
      </c>
      <c r="B51" s="7">
        <v>5</v>
      </c>
    </row>
    <row r="52" spans="1:2" x14ac:dyDescent="0.25">
      <c r="A52" t="s">
        <v>91</v>
      </c>
      <c r="B52" s="7">
        <v>12</v>
      </c>
    </row>
    <row r="53" spans="1:2" x14ac:dyDescent="0.25">
      <c r="A53" t="s">
        <v>92</v>
      </c>
      <c r="B53" s="7">
        <v>35</v>
      </c>
    </row>
    <row r="54" spans="1:3" x14ac:dyDescent="0.25">
      <c r="A54" t="s">
        <v>93</v>
      </c>
      <c r="B54" s="7">
        <v>3</v>
      </c>
      <c r="C54" t="s">
        <v>94</v>
      </c>
    </row>
    <row r="55" spans="1:3" x14ac:dyDescent="0.25">
      <c r="A55" t="s">
        <v>95</v>
      </c>
      <c r="B55" s="4">
        <v>4500000</v>
      </c>
      <c r="C55" t="s">
        <v>96</v>
      </c>
    </row>
    <row r="56" spans="1:3" x14ac:dyDescent="0.25">
      <c r="A56" t="s">
        <v>97</v>
      </c>
      <c r="B56" s="6">
        <v>0.35</v>
      </c>
      <c r="C56" t="s">
        <v>98</v>
      </c>
    </row>
    <row r="57" spans="1:3" x14ac:dyDescent="0.25">
      <c r="A57" t="s">
        <v>99</v>
      </c>
      <c r="B57" s="6">
        <v>0.25</v>
      </c>
      <c r="C57" t="s">
        <v>100</v>
      </c>
    </row>
    <row r="58" spans="1:3" x14ac:dyDescent="0.25">
      <c r="A58" t="s">
        <v>101</v>
      </c>
      <c r="B58" s="6">
        <v>0.4</v>
      </c>
      <c r="C58" t="s">
        <v>102</v>
      </c>
    </row>
    <row r="59" spans="1:3" x14ac:dyDescent="0.25">
      <c r="A59" t="s">
        <v>103</v>
      </c>
      <c r="B59" s="7">
        <v>20</v>
      </c>
      <c r="C59" t="s">
        <v>104</v>
      </c>
    </row>
    <row r="61" spans="1:3" x14ac:dyDescent="0.25">
      <c r="A61" t="s">
        <v>105</v>
      </c>
      <c r="C61" s="8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8" customWidth="1"/>
    <col min="2" max="4" width="16" customWidth="1"/>
    <col min="5" max="5" width="18" customWidth="1"/>
  </cols>
  <sheetData>
    <row r="1" spans="1:1" x14ac:dyDescent="0.25">
      <c r="A1" s="9" t="s">
        <v>107</v>
      </c>
    </row>
    <row r="3" spans="1:5" s="10" customFormat="1" x14ac:dyDescent="0.25">
      <c r="A3" s="10" t="s">
        <v>108</v>
      </c>
      <c r="B3" s="10" t="s">
        <v>109</v>
      </c>
      <c r="C3" s="10" t="s">
        <v>110</v>
      </c>
      <c r="D3" s="10" t="s">
        <v>111</v>
      </c>
      <c r="E3" s="10" t="s">
        <v>112</v>
      </c>
    </row>
    <row r="4" spans="1:5" x14ac:dyDescent="0.25">
      <c r="A4" t="s">
        <v>113</v>
      </c>
      <c r="B4" s="5">
        <f>01_Assumptions!B20</f>
      </c>
      <c r="C4" s="5">
        <f>01_Assumptions!B21</f>
      </c>
      <c r="D4" s="5">
        <f>01_Assumptions!B22</f>
      </c>
      <c r="E4" t="s">
        <v>114</v>
      </c>
    </row>
    <row r="5" spans="1:5" x14ac:dyDescent="0.25">
      <c r="A5" t="s">
        <v>115</v>
      </c>
      <c r="B5">
        <f>01_Assumptions!B51</f>
      </c>
      <c r="C5">
        <f>01_Assumptions!B52</f>
      </c>
      <c r="D5">
        <f>01_Assumptions!B53</f>
      </c>
      <c r="E5" t="s">
        <v>116</v>
      </c>
    </row>
    <row r="6" spans="1:5" x14ac:dyDescent="0.25">
      <c r="A6" t="s">
        <v>117</v>
      </c>
      <c r="B6">
        <f>01_Assumptions!B26</f>
      </c>
      <c r="C6">
        <f>01_Assumptions!B27</f>
      </c>
      <c r="D6">
        <f>01_Assumptions!B28</f>
      </c>
      <c r="E6" t="s">
        <v>116</v>
      </c>
    </row>
    <row r="7" spans="1:5" x14ac:dyDescent="0.25">
      <c r="A7" t="s">
        <v>118</v>
      </c>
      <c r="B7">
        <f>MAX(0,B5-B6)</f>
      </c>
      <c r="C7">
        <f>MAX(0,C5-C6)</f>
      </c>
      <c r="D7">
        <f>MAX(0,D5-D6)</f>
      </c>
      <c r="E7" t="s">
        <v>116</v>
      </c>
    </row>
    <row r="8" spans="1:5" x14ac:dyDescent="0.25">
      <c r="A8" t="s">
        <v>119</v>
      </c>
      <c r="B8" s="5">
        <f>B7*01_Assumptions!B23</f>
      </c>
      <c r="C8" s="5">
        <f>C7*01_Assumptions!B24</f>
      </c>
      <c r="D8" s="5">
        <f>D7*01_Assumptions!B25</f>
      </c>
      <c r="E8" t="s">
        <v>116</v>
      </c>
    </row>
    <row r="9" spans="1:5" x14ac:dyDescent="0.25">
      <c r="A9" t="s">
        <v>120</v>
      </c>
      <c r="B9" s="5">
        <f>B4+B8</f>
      </c>
      <c r="C9" s="5">
        <f>C4+C8</f>
      </c>
      <c r="D9" s="5">
        <f>D4+D8</f>
      </c>
      <c r="E9" t="s">
        <v>121</v>
      </c>
    </row>
    <row r="10" spans="1:5" x14ac:dyDescent="0.25">
      <c r="A10" t="s">
        <v>122</v>
      </c>
      <c r="B10" s="5">
        <f>B9*01_Assumptions!B48</f>
      </c>
      <c r="C10" s="5">
        <f>C9*01_Assumptions!B48</f>
      </c>
      <c r="D10" s="5">
        <f>D9*01_Assumptions!B48</f>
      </c>
      <c r="E10" t="s">
        <v>123</v>
      </c>
    </row>
    <row r="11" spans="1:5" x14ac:dyDescent="0.25">
      <c r="A11" t="s">
        <v>124</v>
      </c>
      <c r="B11" s="5">
        <f>01_Assumptions!B12</f>
      </c>
      <c r="C11" s="5">
        <f>01_Assumptions!B12</f>
      </c>
      <c r="D11" s="5">
        <f>01_Assumptions!B12</f>
      </c>
      <c r="E11" t="s">
        <v>116</v>
      </c>
    </row>
    <row r="12" spans="1:5" x14ac:dyDescent="0.25">
      <c r="A12" t="s">
        <v>125</v>
      </c>
      <c r="B12" s="5">
        <f>B5*01_Assumptions!B13</f>
      </c>
      <c r="C12" s="5">
        <f>C5*01_Assumptions!B13</f>
      </c>
      <c r="D12" s="5">
        <f>D5*01_Assumptions!B13</f>
      </c>
      <c r="E12" t="s">
        <v>116</v>
      </c>
    </row>
    <row r="13" spans="1:5" x14ac:dyDescent="0.25">
      <c r="A13" t="s">
        <v>126</v>
      </c>
      <c r="B13" s="5" t="s">
        <v>127</v>
      </c>
      <c r="C13" s="5">
        <f>01_Assumptions!B59*01_Assumptions!B15</f>
      </c>
      <c r="D13" s="5">
        <f>01_Assumptions!B59*01_Assumptions!B15*1.5</f>
      </c>
      <c r="E13" t="s">
        <v>128</v>
      </c>
    </row>
    <row r="14" spans="1:5" x14ac:dyDescent="0.25">
      <c r="A14" t="s">
        <v>129</v>
      </c>
      <c r="B14" s="5">
        <f>B11+B12+B13</f>
      </c>
      <c r="C14" s="5">
        <f>C11+C12+C13</f>
      </c>
      <c r="D14" s="5">
        <f>D11+D12+D13</f>
      </c>
      <c r="E14" t="s">
        <v>116</v>
      </c>
    </row>
    <row r="15" spans="1:5" x14ac:dyDescent="0.25">
      <c r="A15" t="s">
        <v>130</v>
      </c>
      <c r="B15" s="5">
        <f>B10-B14</f>
      </c>
      <c r="C15" s="5">
        <f>C10-C14</f>
      </c>
      <c r="D15" s="5">
        <f>D10-D14</f>
      </c>
      <c r="E15" t="s">
        <v>131</v>
      </c>
    </row>
    <row r="16" spans="1:5" x14ac:dyDescent="0.25">
      <c r="A16" t="s">
        <v>132</v>
      </c>
      <c r="B16" s="11">
        <f>IF(B10=0,0,B15/B10)</f>
      </c>
      <c r="C16" s="11">
        <f>IF(C10=0,0,C15/C10)</f>
      </c>
      <c r="D16" s="11">
        <f>IF(D10=0,0,D15/D10)</f>
      </c>
      <c r="E16" t="s">
        <v>133</v>
      </c>
    </row>
    <row r="17" spans="1:5" x14ac:dyDescent="0.25">
      <c r="A17" t="s">
        <v>134</v>
      </c>
      <c r="B17" s="11">
        <f>B16-01_Assumptions!B43</f>
      </c>
      <c r="C17" s="11">
        <f>C16-01_Assumptions!B43</f>
      </c>
      <c r="D17" s="11">
        <f>D16-01_Assumptions!B43</f>
      </c>
      <c r="E17" t="s">
        <v>135</v>
      </c>
    </row>
    <row r="20" spans="1:1" x14ac:dyDescent="0.25">
      <c r="A20" s="2" t="s">
        <v>136</v>
      </c>
    </row>
    <row r="21" spans="1:5" x14ac:dyDescent="0.25">
      <c r="A21" t="s">
        <v>137</v>
      </c>
      <c r="B21"/>
      <c r="C21"/>
      <c r="D21"/>
      <c r="E21"/>
    </row>
  </sheetData>
  <mergeCells count="1">
    <mergeCell ref="A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0" customWidth="1"/>
    <col min="2" max="2" width="18" customWidth="1"/>
    <col min="3" max="3" width="50" customWidth="1"/>
  </cols>
  <sheetData>
    <row r="1" spans="1:1" x14ac:dyDescent="0.25">
      <c r="A1" s="9" t="s">
        <v>138</v>
      </c>
    </row>
    <row r="3" spans="1:3" s="10" customFormat="1" x14ac:dyDescent="0.25">
      <c r="A3" s="10" t="s">
        <v>108</v>
      </c>
      <c r="B3" s="10" t="s">
        <v>139</v>
      </c>
      <c r="C3" s="10" t="s">
        <v>112</v>
      </c>
    </row>
    <row r="4" spans="1:3" x14ac:dyDescent="0.25">
      <c r="A4" t="s">
        <v>140</v>
      </c>
      <c r="B4" s="5">
        <f>01_Assumptions!B31</f>
      </c>
      <c r="C4" t="s">
        <v>141</v>
      </c>
    </row>
    <row r="5" spans="1:3" x14ac:dyDescent="0.25">
      <c r="A5" t="s">
        <v>142</v>
      </c>
      <c r="B5" s="12">
        <f>01_Assumptions!B54</f>
      </c>
      <c r="C5" t="s">
        <v>116</v>
      </c>
    </row>
    <row r="6" spans="1:3" x14ac:dyDescent="0.25">
      <c r="A6" t="s">
        <v>143</v>
      </c>
      <c r="B6" s="12">
        <f>01_Assumptions!B32</f>
      </c>
      <c r="C6" t="s">
        <v>116</v>
      </c>
    </row>
    <row r="7" spans="1:3" x14ac:dyDescent="0.25">
      <c r="A7" t="s">
        <v>144</v>
      </c>
      <c r="B7" s="12">
        <f>MAX(0,B5-B6)</f>
      </c>
      <c r="C7" t="s">
        <v>116</v>
      </c>
    </row>
    <row r="8" spans="1:3" x14ac:dyDescent="0.25">
      <c r="A8" t="s">
        <v>145</v>
      </c>
      <c r="B8" s="5">
        <f>B7*01_Assumptions!B33</f>
      </c>
      <c r="C8" t="s">
        <v>116</v>
      </c>
    </row>
    <row r="9" spans="1:3" x14ac:dyDescent="0.25">
      <c r="A9" t="s">
        <v>146</v>
      </c>
      <c r="B9" s="5">
        <f>B4+B8</f>
      </c>
      <c r="C9" t="s">
        <v>147</v>
      </c>
    </row>
    <row r="10" spans="1:3" x14ac:dyDescent="0.25">
      <c r="A10" t="s">
        <v>148</v>
      </c>
      <c r="B10" s="5">
        <f>01_Assumptions!B55</f>
      </c>
      <c r="C10" t="s">
        <v>149</v>
      </c>
    </row>
    <row r="11" spans="1:3" x14ac:dyDescent="0.25">
      <c r="A11" t="s">
        <v>150</v>
      </c>
      <c r="B11" s="5">
        <f>B10*01_Assumptions!B56</f>
      </c>
      <c r="C11" t="s">
        <v>116</v>
      </c>
    </row>
    <row r="12" spans="1:3" x14ac:dyDescent="0.25">
      <c r="A12" t="s">
        <v>151</v>
      </c>
      <c r="B12" s="5">
        <f>B10*01_Assumptions!B57</f>
      </c>
      <c r="C12" t="s">
        <v>116</v>
      </c>
    </row>
    <row r="13" spans="1:3" x14ac:dyDescent="0.25">
      <c r="A13" t="s">
        <v>152</v>
      </c>
      <c r="B13" s="5">
        <f>B10*01_Assumptions!B58</f>
      </c>
      <c r="C13" t="s">
        <v>153</v>
      </c>
    </row>
    <row r="14" spans="1:3" x14ac:dyDescent="0.25">
      <c r="A14" t="s">
        <v>154</v>
      </c>
      <c r="B14" s="5">
        <f>B11*01_Assumptions!B34</f>
      </c>
      <c r="C14" t="s">
        <v>116</v>
      </c>
    </row>
    <row r="15" spans="1:3" x14ac:dyDescent="0.25">
      <c r="A15" t="s">
        <v>155</v>
      </c>
      <c r="B15" s="5">
        <f>B12*01_Assumptions!B35</f>
      </c>
      <c r="C15" t="s">
        <v>116</v>
      </c>
    </row>
    <row r="16" spans="1:3" x14ac:dyDescent="0.25">
      <c r="A16" t="s">
        <v>156</v>
      </c>
      <c r="B16" s="5">
        <f>B13*01_Assumptions!B36</f>
      </c>
      <c r="C16" t="s">
        <v>116</v>
      </c>
    </row>
    <row r="17" spans="1:3" x14ac:dyDescent="0.25">
      <c r="A17" t="s">
        <v>157</v>
      </c>
      <c r="B17" s="5">
        <f>B14+B15+B16</f>
      </c>
      <c r="C17" t="s">
        <v>116</v>
      </c>
    </row>
    <row r="18" spans="1:3" x14ac:dyDescent="0.25">
      <c r="A18" t="s">
        <v>158</v>
      </c>
      <c r="B18" s="5">
        <f>(B11+B12)*01_Assumptions!B16</f>
      </c>
      <c r="C18" t="s">
        <v>159</v>
      </c>
    </row>
    <row r="19" spans="1:3" x14ac:dyDescent="0.25">
      <c r="A19" t="s">
        <v>160</v>
      </c>
      <c r="B19" s="5">
        <f>IF(01_Assumptions!B37=1,MAX(0,B17-B18),B17)</f>
      </c>
      <c r="C19" t="s">
        <v>116</v>
      </c>
    </row>
    <row r="20" spans="1:3" x14ac:dyDescent="0.25">
      <c r="A20" t="s">
        <v>161</v>
      </c>
      <c r="B20" s="5">
        <f>B9+B19</f>
      </c>
      <c r="C20" t="s">
        <v>116</v>
      </c>
    </row>
    <row r="21" spans="1:3" x14ac:dyDescent="0.25">
      <c r="A21" t="s">
        <v>162</v>
      </c>
      <c r="B21" s="5">
        <f>B5*01_Assumptions!B14</f>
      </c>
      <c r="C21" t="s">
        <v>116</v>
      </c>
    </row>
    <row r="22" spans="1:3" x14ac:dyDescent="0.25">
      <c r="A22" t="s">
        <v>163</v>
      </c>
      <c r="B22" s="5">
        <f>B20-B21</f>
      </c>
      <c r="C22" t="s">
        <v>116</v>
      </c>
    </row>
    <row r="23" spans="1:3" x14ac:dyDescent="0.25">
      <c r="A23" t="s">
        <v>132</v>
      </c>
      <c r="B23" s="11">
        <f>IF(B20=0,0,B22/B20)</f>
      </c>
      <c r="C23" t="s">
        <v>116</v>
      </c>
    </row>
    <row r="26" spans="1:3" x14ac:dyDescent="0.25">
      <c r="A26" t="s">
        <v>164</v>
      </c>
      <c r="B26" s="11">
        <f>IF(B10=0,0,B17/B10)</f>
      </c>
      <c r="C26" t="s">
        <v>165</v>
      </c>
    </row>
    <row r="28" spans="1:2" x14ac:dyDescent="0.25">
      <c r="A28" t="s">
        <v>166</v>
      </c>
      <c r="B28" s="11">
        <f>IF((B11+B12)=0,0,B17/(B11+B12))</f>
      </c>
    </row>
    <row r="30" spans="1:1" x14ac:dyDescent="0.25">
      <c r="A30" s="2" t="s">
        <v>167</v>
      </c>
    </row>
    <row r="31" spans="1:3" x14ac:dyDescent="0.25">
      <c r="A31" t="s">
        <v>168</v>
      </c>
      <c r="B31"/>
      <c r="C31"/>
    </row>
    <row r="32" spans="1:3" x14ac:dyDescent="0.25">
      <c r="A32" t="s">
        <v>169</v>
      </c>
      <c r="B32"/>
      <c r="C32"/>
    </row>
  </sheetData>
  <mergeCells count="2">
    <mergeCell ref="A31:C31"/>
    <mergeCell ref="A32:C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2" customWidth="1"/>
    <col min="2" max="4" width="16" customWidth="1"/>
    <col min="5" max="5" width="40" customWidth="1"/>
  </cols>
  <sheetData>
    <row r="1" spans="1:1" x14ac:dyDescent="0.25">
      <c r="A1" s="9" t="s">
        <v>170</v>
      </c>
    </row>
    <row r="3" spans="1:5" s="10" customFormat="1" x14ac:dyDescent="0.25">
      <c r="A3" s="10" t="s">
        <v>108</v>
      </c>
      <c r="B3" s="10" t="s">
        <v>109</v>
      </c>
      <c r="C3" s="10" t="s">
        <v>110</v>
      </c>
      <c r="D3" s="10" t="s">
        <v>171</v>
      </c>
      <c r="E3" s="10" t="s">
        <v>112</v>
      </c>
    </row>
    <row r="4" spans="1:5" x14ac:dyDescent="0.25">
      <c r="A4" t="s">
        <v>172</v>
      </c>
      <c r="B4" s="5">
        <f>'02_Plan_Economics'!B15</f>
      </c>
      <c r="C4" s="5">
        <f>'02_Plan_Economics'!C15</f>
      </c>
      <c r="D4" s="5">
        <f>'02_Plan_Economics'!C15+'03_Shortlets'!B22</f>
      </c>
      <c r="E4" t="s">
        <v>173</v>
      </c>
    </row>
    <row r="5" spans="1:5" x14ac:dyDescent="0.25">
      <c r="A5" t="s">
        <v>174</v>
      </c>
      <c r="B5" s="11">
        <f>01_Assumptions!B44</f>
      </c>
      <c r="C5" s="11">
        <f>01_Assumptions!B45</f>
      </c>
      <c r="D5" s="11">
        <f>01_Assumptions!B45</f>
      </c>
      <c r="E5" t="s">
        <v>175</v>
      </c>
    </row>
    <row r="6" spans="1:5" x14ac:dyDescent="0.25">
      <c r="A6" t="s">
        <v>176</v>
      </c>
      <c r="B6" s="12">
        <f>IF(B5=0,0,1/B5)</f>
      </c>
      <c r="C6" s="12">
        <f>IF(C5=0,0,1/C5)</f>
      </c>
      <c r="D6" s="12">
        <f>IF(D5=0,0,1/D5)</f>
      </c>
      <c r="E6" t="s">
        <v>177</v>
      </c>
    </row>
    <row r="7" spans="1:5" x14ac:dyDescent="0.25">
      <c r="A7" t="s">
        <v>178</v>
      </c>
      <c r="B7" s="5">
        <f>B4*B6</f>
      </c>
      <c r="C7" s="5">
        <f>C4*C6</f>
      </c>
      <c r="D7" s="5">
        <f>D4*D6</f>
      </c>
      <c r="E7" t="s">
        <v>179</v>
      </c>
    </row>
    <row r="8" spans="1:5" x14ac:dyDescent="0.25">
      <c r="A8" t="s">
        <v>180</v>
      </c>
      <c r="B8" s="5">
        <f>01_Assumptions!B41-01_Assumptions!B42</f>
      </c>
      <c r="C8" s="5">
        <f>01_Assumptions!B41-01_Assumptions!B42</f>
      </c>
      <c r="D8" s="5">
        <f>01_Assumptions!B41-01_Assumptions!B42</f>
      </c>
      <c r="E8" t="s">
        <v>181</v>
      </c>
    </row>
    <row r="9" spans="1:5" x14ac:dyDescent="0.25">
      <c r="A9" t="s">
        <v>182</v>
      </c>
      <c r="B9" s="5">
        <f>B7+B8</f>
      </c>
      <c r="C9" s="5">
        <f>C7+C8</f>
      </c>
      <c r="D9" s="5">
        <f>D7+D8</f>
      </c>
      <c r="E9" t="s">
        <v>116</v>
      </c>
    </row>
    <row r="10" spans="1:5" x14ac:dyDescent="0.25">
      <c r="A10" t="s">
        <v>183</v>
      </c>
      <c r="B10" s="5">
        <f>01_Assumptions!B40</f>
      </c>
      <c r="C10" s="5">
        <f>01_Assumptions!B40</f>
      </c>
      <c r="D10" s="5">
        <f>01_Assumptions!B40</f>
      </c>
      <c r="E10" t="s">
        <v>184</v>
      </c>
    </row>
    <row r="11" spans="1:5" x14ac:dyDescent="0.25">
      <c r="A11" t="s">
        <v>185</v>
      </c>
      <c r="B11" s="12">
        <f>IF(B10=0,0,B9/B10)</f>
      </c>
      <c r="C11" s="12">
        <f>IF(C10=0,0,C9/C10)</f>
      </c>
      <c r="D11" s="12">
        <f>IF(D10=0,0,D9/D10)</f>
      </c>
      <c r="E11" t="s">
        <v>186</v>
      </c>
    </row>
    <row r="12" spans="1:5" x14ac:dyDescent="0.25">
      <c r="A12" t="s">
        <v>187</v>
      </c>
      <c r="B12" s="12">
        <f>IF(B4=0,0,B10/B4)</f>
      </c>
      <c r="C12" s="12">
        <f>IF(C4=0,0,C10/C4)</f>
      </c>
      <c r="D12" s="12">
        <f>IF(D4=0,0,D10/D4)</f>
      </c>
      <c r="E12" t="s">
        <v>188</v>
      </c>
    </row>
    <row r="13" spans="1:5" x14ac:dyDescent="0.25">
      <c r="A13" t="s">
        <v>189</v>
      </c>
      <c r="B13">
        <f>IF(AND(B11&gt;=3,B12&lt;=6),"YES","REVIEW")</f>
      </c>
      <c r="C13">
        <f>IF(AND(C11&gt;=3,C12&lt;=6),"YES","REVIEW")</f>
      </c>
      <c r="D13">
        <f>IF(AND(D11&gt;=3,D12&lt;=6),"YES","REVIEW")</f>
      </c>
      <c r="E13" t="s">
        <v>190</v>
      </c>
    </row>
    <row r="16" spans="1:1" x14ac:dyDescent="0.25">
      <c r="A16" s="2" t="s">
        <v>191</v>
      </c>
    </row>
    <row r="17" spans="1:5" x14ac:dyDescent="0.25">
      <c r="A17" t="s">
        <v>192</v>
      </c>
      <c r="B17"/>
      <c r="C17"/>
      <c r="D17"/>
      <c r="E17"/>
    </row>
  </sheetData>
  <mergeCells count="1">
    <mergeCell ref="A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28" customWidth="1"/>
    <col min="2" max="2" width="14" customWidth="1"/>
    <col min="3" max="5" width="16" customWidth="1"/>
    <col min="6" max="6" width="18" customWidth="1"/>
  </cols>
  <sheetData>
    <row r="1" spans="1:1" x14ac:dyDescent="0.25">
      <c r="A1" s="9" t="s">
        <v>193</v>
      </c>
    </row>
    <row r="3" spans="1:6" s="10" customFormat="1" x14ac:dyDescent="0.25">
      <c r="A3" s="10" t="s">
        <v>194</v>
      </c>
      <c r="B3" s="10" t="s">
        <v>195</v>
      </c>
      <c r="C3" s="10" t="s">
        <v>196</v>
      </c>
      <c r="D3" s="10" t="s">
        <v>197</v>
      </c>
      <c r="E3" s="10" t="s">
        <v>198</v>
      </c>
      <c r="F3" s="10" t="s">
        <v>112</v>
      </c>
    </row>
    <row r="4" spans="1:6" x14ac:dyDescent="0.25">
      <c r="A4" t="s">
        <v>109</v>
      </c>
      <c r="B4" s="7">
        <v>8</v>
      </c>
      <c r="C4" s="5">
        <f>'02_Plan_Economics'!B15</f>
      </c>
      <c r="D4" s="5">
        <f>B4*C4</f>
      </c>
      <c r="E4" s="11">
        <f>IF(SUM($B$4:$B$7)=0,0,B4/SUM($B$4:$B$7))</f>
      </c>
      <c r="F4" t="s">
        <v>199</v>
      </c>
    </row>
    <row r="5" spans="1:6" x14ac:dyDescent="0.25">
      <c r="A5" t="s">
        <v>200</v>
      </c>
      <c r="B5" s="7">
        <v>12</v>
      </c>
      <c r="C5" s="5">
        <f>'02_Plan_Economics'!C15</f>
      </c>
      <c r="D5" s="5">
        <f>B5*C5</f>
      </c>
      <c r="E5" s="11">
        <f>IF(SUM($B$4:$B$7)=0,0,B5/SUM($B$4:$B$7))</f>
      </c>
      <c r="F5" t="s">
        <v>201</v>
      </c>
    </row>
    <row r="6" spans="1:6" x14ac:dyDescent="0.25">
      <c r="A6" t="s">
        <v>202</v>
      </c>
      <c r="B6" s="7">
        <v>6</v>
      </c>
      <c r="C6" s="5">
        <f>'02_Plan_Economics'!C15+'03_Shortlets'!B22</f>
      </c>
      <c r="D6" s="5">
        <f>B6*C6</f>
      </c>
      <c r="E6" s="11">
        <f>IF(SUM($B$4:$B$7)=0,0,B6/SUM($B$4:$B$7))</f>
      </c>
      <c r="F6" t="s">
        <v>203</v>
      </c>
    </row>
    <row r="7" spans="1:6" x14ac:dyDescent="0.25">
      <c r="A7" t="s">
        <v>111</v>
      </c>
      <c r="B7" s="7">
        <v>2</v>
      </c>
      <c r="C7" s="5">
        <f>'02_Plan_Economics'!D15</f>
      </c>
      <c r="D7" s="5">
        <f>B7*C7</f>
      </c>
      <c r="E7" s="11">
        <f>IF(SUM($B$4:$B$7)=0,0,B7/SUM($B$4:$B$7))</f>
      </c>
      <c r="F7" t="s">
        <v>204</v>
      </c>
    </row>
    <row r="9" spans="1:2" x14ac:dyDescent="0.25">
      <c r="A9" s="2" t="s">
        <v>205</v>
      </c>
      <c r="B9">
        <f>SUM(B4:B7)</f>
      </c>
    </row>
    <row r="10" spans="1:2" x14ac:dyDescent="0.25">
      <c r="A10" s="2" t="s">
        <v>206</v>
      </c>
      <c r="B10" s="5">
        <f>SUM(D4:D7)</f>
      </c>
    </row>
    <row r="11" spans="1:2" x14ac:dyDescent="0.25">
      <c r="A11" t="s">
        <v>207</v>
      </c>
      <c r="B11" s="5">
        <f>IF(B9=0,0,B10/B9)</f>
      </c>
    </row>
    <row r="12" spans="1:2" x14ac:dyDescent="0.25">
      <c r="A12" t="s">
        <v>208</v>
      </c>
      <c r="B12" s="5">
        <f>'01_Assumptions'!B9</f>
      </c>
    </row>
    <row r="13" spans="1:2" x14ac:dyDescent="0.25">
      <c r="A13" s="2" t="s">
        <v>209</v>
      </c>
      <c r="B13" s="5">
        <f>B10-B12</f>
      </c>
    </row>
    <row r="14" spans="1:3" x14ac:dyDescent="0.25">
      <c r="A14" t="s">
        <v>210</v>
      </c>
      <c r="B14">
        <f>IF(B11=0,0,ROUNDUP(B12/B11,0))</f>
      </c>
      <c r="C14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22" customWidth="1"/>
    <col min="2" max="6" width="14" customWidth="1"/>
  </cols>
  <sheetData>
    <row r="1" spans="1:1" x14ac:dyDescent="0.25">
      <c r="A1" s="13" t="s">
        <v>212</v>
      </c>
    </row>
    <row r="2" spans="1:6" x14ac:dyDescent="0.25">
      <c r="A2" t="s">
        <v>213</v>
      </c>
      <c r="B2"/>
      <c r="C2"/>
      <c r="D2"/>
      <c r="E2"/>
      <c r="F2"/>
    </row>
    <row r="4" spans="1:1" x14ac:dyDescent="0.25">
      <c r="A4" s="2" t="s">
        <v>214</v>
      </c>
    </row>
    <row r="5" spans="1:3" s="10" customFormat="1" x14ac:dyDescent="0.25">
      <c r="A5" s="10" t="s">
        <v>215</v>
      </c>
      <c r="B5" s="10" t="s">
        <v>216</v>
      </c>
      <c r="C5" s="10" t="s">
        <v>217</v>
      </c>
    </row>
    <row r="6" spans="1:3" x14ac:dyDescent="0.25">
      <c r="A6" s="11">
        <v>0.02</v>
      </c>
      <c r="B6" s="5">
        <v>31500</v>
      </c>
      <c r="C6" s="5">
        <v>-15750</v>
      </c>
    </row>
    <row r="7" spans="1:3" x14ac:dyDescent="0.25">
      <c r="A7" s="11">
        <v>0.025</v>
      </c>
      <c r="B7" s="5">
        <v>39375</v>
      </c>
      <c r="C7" s="5">
        <v>-7875</v>
      </c>
    </row>
    <row r="8" spans="1:3" x14ac:dyDescent="0.25">
      <c r="A8" s="11">
        <v>0.03</v>
      </c>
      <c r="B8" s="5">
        <v>47250</v>
      </c>
      <c r="C8" s="5">
        <v>0</v>
      </c>
    </row>
    <row r="9" spans="1:3" x14ac:dyDescent="0.25">
      <c r="A9" s="11">
        <v>0.035</v>
      </c>
      <c r="B9" s="5">
        <v>55125.00000000001</v>
      </c>
      <c r="C9" s="5">
        <v>7875.000000000007</v>
      </c>
    </row>
    <row r="10" spans="1:3" x14ac:dyDescent="0.25">
      <c r="A10" s="11">
        <v>0.04</v>
      </c>
      <c r="B10" s="5">
        <v>63000</v>
      </c>
      <c r="C10" s="5">
        <v>15750</v>
      </c>
    </row>
    <row r="11" spans="1:3" x14ac:dyDescent="0.25">
      <c r="A11" s="11">
        <v>0.05</v>
      </c>
      <c r="B11" s="5">
        <v>78750</v>
      </c>
      <c r="C11" s="5">
        <v>31500</v>
      </c>
    </row>
    <row r="14" spans="1:1" x14ac:dyDescent="0.25">
      <c r="A14" s="2" t="s">
        <v>218</v>
      </c>
    </row>
    <row r="15" spans="1:3" s="10" customFormat="1" x14ac:dyDescent="0.25">
      <c r="A15" s="10" t="s">
        <v>219</v>
      </c>
      <c r="B15" s="10" t="s">
        <v>220</v>
      </c>
      <c r="C15" s="10" t="s">
        <v>221</v>
      </c>
    </row>
    <row r="16" spans="1:3" x14ac:dyDescent="0.25">
      <c r="A16" s="5">
        <v>10000</v>
      </c>
      <c r="B16" s="5">
        <v>10000</v>
      </c>
      <c r="C16" s="5">
        <v>30000</v>
      </c>
    </row>
    <row r="17" spans="1:3" x14ac:dyDescent="0.25">
      <c r="A17" s="5">
        <v>15000</v>
      </c>
      <c r="B17" s="5">
        <v>15000</v>
      </c>
      <c r="C17" s="5">
        <v>45000</v>
      </c>
    </row>
    <row r="18" spans="1:3" x14ac:dyDescent="0.25">
      <c r="A18" s="5">
        <v>20000</v>
      </c>
      <c r="B18" s="5">
        <v>20000</v>
      </c>
      <c r="C18" s="5">
        <v>60000</v>
      </c>
    </row>
    <row r="19" spans="1:3" x14ac:dyDescent="0.25">
      <c r="A19" s="5">
        <v>25000</v>
      </c>
      <c r="B19" s="5">
        <v>25000</v>
      </c>
      <c r="C19" s="5">
        <v>75000</v>
      </c>
    </row>
    <row r="20" spans="1:3" x14ac:dyDescent="0.25">
      <c r="A20" s="5">
        <v>30000</v>
      </c>
      <c r="B20" s="5">
        <v>30000</v>
      </c>
      <c r="C20" s="5">
        <v>90000</v>
      </c>
    </row>
    <row r="23" spans="1:1" x14ac:dyDescent="0.25">
      <c r="A23" s="2" t="s">
        <v>222</v>
      </c>
    </row>
    <row r="24" spans="1:3" s="10" customFormat="1" x14ac:dyDescent="0.25">
      <c r="A24" s="10" t="s">
        <v>223</v>
      </c>
      <c r="B24" s="10" t="s">
        <v>224</v>
      </c>
      <c r="C24" s="10" t="s">
        <v>225</v>
      </c>
    </row>
    <row r="25" spans="1:2" x14ac:dyDescent="0.25">
      <c r="A25" s="5">
        <v>150000</v>
      </c>
      <c r="B25" s="5">
        <v>127500</v>
      </c>
    </row>
    <row r="26" spans="1:2" x14ac:dyDescent="0.25">
      <c r="A26" s="5">
        <v>180000</v>
      </c>
      <c r="B26" s="5">
        <v>156000</v>
      </c>
    </row>
    <row r="27" spans="1:2" x14ac:dyDescent="0.25">
      <c r="A27" s="5">
        <v>200000</v>
      </c>
      <c r="B27" s="5">
        <v>175000</v>
      </c>
    </row>
    <row r="28" spans="1:2" x14ac:dyDescent="0.25">
      <c r="A28" s="5">
        <v>225000</v>
      </c>
      <c r="B28" s="5">
        <v>198750</v>
      </c>
    </row>
    <row r="29" spans="1:2" x14ac:dyDescent="0.25">
      <c r="A29" s="5">
        <v>250000</v>
      </c>
      <c r="B29" s="5">
        <v>222500</v>
      </c>
    </row>
    <row r="30" spans="1:2" x14ac:dyDescent="0.25">
      <c r="A30" s="5">
        <v>300000</v>
      </c>
      <c r="B30" s="5">
        <v>270000</v>
      </c>
    </row>
  </sheetData>
  <mergeCells count="1"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18" customWidth="1"/>
    <col min="2" max="13" width="12" customWidth="1"/>
    <col min="14" max="14" width="14" customWidth="1"/>
  </cols>
  <sheetData>
    <row r="1" spans="1:1" x14ac:dyDescent="0.25">
      <c r="A1" s="9" t="s">
        <v>226</v>
      </c>
    </row>
    <row r="3" spans="1:14" x14ac:dyDescent="0.25">
      <c r="A3" t="s">
        <v>227</v>
      </c>
      <c r="B3" s="7">
        <v>2</v>
      </c>
      <c r="C3" s="7">
        <v>2</v>
      </c>
      <c r="D3" s="7">
        <v>2</v>
      </c>
      <c r="E3" s="7">
        <v>3</v>
      </c>
      <c r="F3" s="7">
        <v>3</v>
      </c>
      <c r="G3" s="7">
        <v>3</v>
      </c>
      <c r="H3" s="7">
        <v>3</v>
      </c>
      <c r="I3" s="7">
        <v>3</v>
      </c>
      <c r="J3" s="7">
        <v>4</v>
      </c>
      <c r="K3" s="7">
        <v>4</v>
      </c>
      <c r="L3" s="7">
        <v>4</v>
      </c>
      <c r="M3" s="7">
        <v>4</v>
      </c>
      <c r="N3" t="s">
        <v>228</v>
      </c>
    </row>
    <row r="4" spans="1:13" x14ac:dyDescent="0.25">
      <c r="A4" t="s">
        <v>229</v>
      </c>
      <c r="B4" s="6">
        <v>0.4</v>
      </c>
      <c r="C4" s="6">
        <v>0.4</v>
      </c>
      <c r="D4" s="6">
        <v>0.4</v>
      </c>
      <c r="E4" s="6">
        <v>0.4</v>
      </c>
      <c r="F4" s="6">
        <v>0.4</v>
      </c>
      <c r="G4" s="6">
        <v>0.4</v>
      </c>
      <c r="H4" s="6">
        <v>0.4</v>
      </c>
      <c r="I4" s="6">
        <v>0.4</v>
      </c>
      <c r="J4" s="6">
        <v>0.4</v>
      </c>
      <c r="K4" s="6">
        <v>0.4</v>
      </c>
      <c r="L4" s="6">
        <v>0.4</v>
      </c>
      <c r="M4" s="6">
        <v>0.4</v>
      </c>
    </row>
    <row r="5" spans="1:13" x14ac:dyDescent="0.25">
      <c r="A5" t="s">
        <v>230</v>
      </c>
      <c r="B5" s="11">
        <f>'01_Assumptions'!B45</f>
      </c>
      <c r="C5" s="11">
        <f>'01_Assumptions'!B45</f>
      </c>
      <c r="D5" s="11">
        <f>'01_Assumptions'!B45</f>
      </c>
      <c r="E5" s="11">
        <f>'01_Assumptions'!B45</f>
      </c>
      <c r="F5" s="11">
        <f>'01_Assumptions'!B45</f>
      </c>
      <c r="G5" s="11">
        <f>'01_Assumptions'!B45</f>
      </c>
      <c r="H5" s="11">
        <f>'01_Assumptions'!B45</f>
      </c>
      <c r="I5" s="11">
        <f>'01_Assumptions'!B45</f>
      </c>
      <c r="J5" s="11">
        <f>'01_Assumptions'!B45</f>
      </c>
      <c r="K5" s="11">
        <f>'01_Assumptions'!B45</f>
      </c>
      <c r="L5" s="11">
        <f>'01_Assumptions'!B45</f>
      </c>
      <c r="M5" s="11">
        <f>'01_Assumptions'!B45</f>
      </c>
    </row>
    <row r="7" spans="1:14" s="10" customFormat="1" x14ac:dyDescent="0.25">
      <c r="A7" s="10" t="s">
        <v>231</v>
      </c>
      <c r="B7" s="10">
        <v>1</v>
      </c>
      <c r="C7" s="10">
        <v>2</v>
      </c>
      <c r="D7" s="10">
        <v>3</v>
      </c>
      <c r="E7" s="10">
        <v>4</v>
      </c>
      <c r="F7" s="10">
        <v>5</v>
      </c>
      <c r="G7" s="10">
        <v>6</v>
      </c>
      <c r="H7" s="10">
        <v>7</v>
      </c>
      <c r="I7" s="10">
        <v>8</v>
      </c>
      <c r="J7" s="10">
        <v>9</v>
      </c>
      <c r="K7" s="10">
        <v>10</v>
      </c>
      <c r="L7" s="10">
        <v>11</v>
      </c>
      <c r="M7" s="10">
        <v>12</v>
      </c>
      <c r="N7" s="10" t="s">
        <v>232</v>
      </c>
    </row>
    <row r="8" spans="1:14" x14ac:dyDescent="0.25">
      <c r="A8" t="s">
        <v>233</v>
      </c>
      <c r="B8">
        <f>ROUND(5+B3-5*B5,0)</f>
      </c>
      <c r="C8">
        <f>ROUND(B8+C3-B8*C5,0)</f>
      </c>
      <c r="D8">
        <f>ROUND(C8+D3-C8*D5,0)</f>
      </c>
      <c r="E8">
        <f>ROUND(D8+E3-D8*E5,0)</f>
      </c>
      <c r="F8">
        <f>ROUND(E8+F3-E8*F5,0)</f>
      </c>
      <c r="G8">
        <f>ROUND(F8+G3-F8*G5,0)</f>
      </c>
      <c r="H8">
        <f>ROUND(G8+H3-G8*H5,0)</f>
      </c>
      <c r="I8">
        <f>ROUND(H8+I3-H8*I5,0)</f>
      </c>
      <c r="J8">
        <f>ROUND(I8+J3-I8*J5,0)</f>
      </c>
      <c r="K8">
        <f>ROUND(J8+K3-J8*K5,0)</f>
      </c>
      <c r="L8">
        <f>ROUND(K8+L3-K8*L5,0)</f>
      </c>
      <c r="M8">
        <f>ROUND(L8+M3-L8*M5,0)</f>
      </c>
      <c r="N8">
        <f>M8</f>
      </c>
    </row>
    <row r="9" spans="1:13" x14ac:dyDescent="0.25">
      <c r="A9" t="s">
        <v>234</v>
      </c>
      <c r="B9">
        <f>ROUND(B8*B4,0)</f>
      </c>
      <c r="C9">
        <f>ROUND(C8*C4,0)</f>
      </c>
      <c r="D9">
        <f>ROUND(D8*D4,0)</f>
      </c>
      <c r="E9">
        <f>ROUND(E8*E4,0)</f>
      </c>
      <c r="F9">
        <f>ROUND(F8*F4,0)</f>
      </c>
      <c r="G9">
        <f>ROUND(G8*G4,0)</f>
      </c>
      <c r="H9">
        <f>ROUND(H8*H4,0)</f>
      </c>
      <c r="I9">
        <f>ROUND(I8*I4,0)</f>
      </c>
      <c r="J9">
        <f>ROUND(J8*J4,0)</f>
      </c>
      <c r="K9">
        <f>ROUND(K8*K4,0)</f>
      </c>
      <c r="L9">
        <f>ROUND(L8*L4,0)</f>
      </c>
      <c r="M9">
        <f>ROUND(M8*M4,0)</f>
      </c>
    </row>
    <row r="10" spans="1:14" x14ac:dyDescent="0.25">
      <c r="A10" t="s">
        <v>235</v>
      </c>
      <c r="B10" s="5">
        <f>B8*'02_Plan_Economics'!C15+(B9*'03_Shortlets'!B22)</f>
      </c>
      <c r="C10" s="5">
        <f>C8*'02_Plan_Economics'!C15+(C9*'03_Shortlets'!B22)</f>
      </c>
      <c r="D10" s="5">
        <f>D8*'02_Plan_Economics'!C15+(D9*'03_Shortlets'!B22)</f>
      </c>
      <c r="E10" s="5">
        <f>E8*'02_Plan_Economics'!C15+(E9*'03_Shortlets'!B22)</f>
      </c>
      <c r="F10" s="5">
        <f>F8*'02_Plan_Economics'!C15+(F9*'03_Shortlets'!B22)</f>
      </c>
      <c r="G10" s="5">
        <f>G8*'02_Plan_Economics'!C15+(G9*'03_Shortlets'!B22)</f>
      </c>
      <c r="H10" s="5">
        <f>H8*'02_Plan_Economics'!C15+(H9*'03_Shortlets'!B22)</f>
      </c>
      <c r="I10" s="5">
        <f>I8*'02_Plan_Economics'!C15+(I9*'03_Shortlets'!B22)</f>
      </c>
      <c r="J10" s="5">
        <f>J8*'02_Plan_Economics'!C15+(J9*'03_Shortlets'!B22)</f>
      </c>
      <c r="K10" s="5">
        <f>K8*'02_Plan_Economics'!C15+(K9*'03_Shortlets'!B22)</f>
      </c>
      <c r="L10" s="5">
        <f>L8*'02_Plan_Economics'!C15+(L9*'03_Shortlets'!B22)</f>
      </c>
      <c r="M10" s="5">
        <f>M8*'02_Plan_Economics'!C15+(M9*'03_Shortlets'!B22)</f>
      </c>
      <c r="N10" s="5">
        <f>SUM(B10:M10)</f>
      </c>
    </row>
    <row r="11" spans="1:13" x14ac:dyDescent="0.25">
      <c r="A11" t="s">
        <v>236</v>
      </c>
      <c r="B11" s="5">
        <f>'01_Assumptions'!B9</f>
      </c>
      <c r="C11" s="5">
        <f>'01_Assumptions'!B9</f>
      </c>
      <c r="D11" s="5">
        <f>'01_Assumptions'!B9</f>
      </c>
      <c r="E11" s="5">
        <f>'01_Assumptions'!B9</f>
      </c>
      <c r="F11" s="5">
        <f>'01_Assumptions'!B9</f>
      </c>
      <c r="G11" s="5">
        <f>'01_Assumptions'!B9</f>
      </c>
      <c r="H11" s="5">
        <f>'01_Assumptions'!B9</f>
      </c>
      <c r="I11" s="5">
        <f>'01_Assumptions'!B9</f>
      </c>
      <c r="J11" s="5">
        <f>'01_Assumptions'!B9</f>
      </c>
      <c r="K11" s="5">
        <f>'01_Assumptions'!B9</f>
      </c>
      <c r="L11" s="5">
        <f>'01_Assumptions'!B9</f>
      </c>
      <c r="M11" s="5">
        <f>'01_Assumptions'!B9</f>
      </c>
    </row>
    <row r="12" spans="1:14" x14ac:dyDescent="0.25">
      <c r="A12" s="2" t="s">
        <v>237</v>
      </c>
      <c r="B12" s="5">
        <f>B10-B11</f>
      </c>
      <c r="C12" s="5">
        <f>C10-C11</f>
      </c>
      <c r="D12" s="5">
        <f>D10-D11</f>
      </c>
      <c r="E12" s="5">
        <f>E10-E11</f>
      </c>
      <c r="F12" s="5">
        <f>F10-F11</f>
      </c>
      <c r="G12" s="5">
        <f>G10-G11</f>
      </c>
      <c r="H12" s="5">
        <f>H10-H11</f>
      </c>
      <c r="I12" s="5">
        <f>I10-I11</f>
      </c>
      <c r="J12" s="5">
        <f>J10-J11</f>
      </c>
      <c r="K12" s="5">
        <f>K10-K11</f>
      </c>
      <c r="L12" s="5">
        <f>L10-L11</f>
      </c>
      <c r="M12" s="5">
        <f>M10-M11</f>
      </c>
      <c r="N12" s="5">
        <f>SUM(B12:M12)</f>
      </c>
    </row>
    <row r="14" spans="1:8" x14ac:dyDescent="0.25">
      <c r="A14" t="s">
        <v>238</v>
      </c>
      <c r="B14"/>
      <c r="C14"/>
      <c r="D14"/>
      <c r="E14"/>
      <c r="F14"/>
      <c r="G14"/>
      <c r="H14"/>
    </row>
  </sheetData>
  <mergeCells count="1">
    <mergeCell ref="A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00" customWidth="1"/>
  </cols>
  <sheetData>
    <row r="1" spans="1:1" x14ac:dyDescent="0.25">
      <c r="A1" s="9" t="s">
        <v>239</v>
      </c>
    </row>
    <row r="3" ht="420" customHeight="1" spans="1:1" x14ac:dyDescent="0.25">
      <c r="A3" s="14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01_Assumptions</vt:lpstr>
      <vt:lpstr>02_Plan_Economics</vt:lpstr>
      <vt:lpstr>03_Shortlets</vt:lpstr>
      <vt:lpstr>04_Customer_LTV</vt:lpstr>
      <vt:lpstr>05_Portfolio_Mix</vt:lpstr>
      <vt:lpstr>06_Sensitivity</vt:lpstr>
      <vt:lpstr>07_12Mo_Path</vt:lpstr>
      <vt:lpstr>08_Claude_Prompt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Realcorp</dc:creator>
  <dc:title/>
  <dc:subject/>
  <dc:description/>
  <cp:keywords/>
  <cp:category/>
  <cp:lastModifiedBy>Unknown</cp:lastModifiedBy>
  <dcterms:created xsi:type="dcterms:W3CDTF">2026-09-07T10:32:11Z</dcterms:created>
  <dcterms:modified xsi:type="dcterms:W3CDTF">2026-09-07T10:32:11Z</dcterms:modified>
</cp:coreProperties>
</file>